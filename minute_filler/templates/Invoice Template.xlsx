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Setup" sheetId="1" state="visible" r:id="rId1"/>
    <sheet name="Rates" sheetId="2" state="visible" r:id="rId2"/>
    <sheet name="Job" sheetId="3" state="visible" r:id="rId3"/>
    <sheet name="Calculation" sheetId="4" state="visible" r:id="rId4"/>
    <sheet name="Invoice" sheetId="5" state="visible" r:id="rId5"/>
    <sheet name="Exhibit Log" sheetId="6" state="visible" r:id="rId6"/>
    <sheet name="Page Log" sheetId="7" state="visible" r:id="rId7"/>
  </sheets>
  <definedNames>
    <definedName name="MyName">Setup!$B$2</definedName>
    <definedName name="MyTitle">Setup!$B$3</definedName>
    <definedName name="MyAddress1">Setup!$B$4</definedName>
    <definedName name="MyAddress2">Setup!$B$5</definedName>
    <definedName name="MyPhone">Setup!$B$6</definedName>
    <definedName name="MyEmail">Setup!$B$7</definedName>
    <definedName name="MyWebsite">Setup!$B$8</definedName>
    <definedName name="PayLine1">Setup!$B$11</definedName>
    <definedName name="PayLine2">Setup!$B$12</definedName>
    <definedName name="PayLine3">Setup!$B$13</definedName>
    <definedName name="PayLine4">Setup!$B$14</definedName>
    <definedName name="PayLine5">Setup!$B$15</definedName>
    <definedName name="Footer">Setup!$B$16</definedName>
    <definedName name="OfferChoice">Setup!$B$19</definedName>
    <definedName name="OfferExpedite">Setup!$B$20</definedName>
    <definedName name="OfferDaily">Setup!$B$21</definedName>
    <definedName name="EmailCopies">Setup!$B$22</definedName>
    <definedName name="Indexes">Setup!$B$23</definedName>
    <definedName name="IndexFrom">Setup!$B$24</definedName>
    <definedName name="IndexEach">Setup!$B$25</definedName>
    <definedName name="Turnaround">Setup!$A$28:$B$31</definedName>
    <definedName name="RateTable">Rates!$A$2:$E$5</definedName>
    <definedName name="InvoiceNo">Job!$B$2</definedName>
    <definedName name="InvoiceDate">Job!$B$3</definedName>
    <definedName name="Pages">Job!$B$4</definedName>
    <definedName name="Parties">Job!$B$5</definedName>
    <definedName name="Speed">Job!$B$6</definedName>
    <definedName name="CaseTitle">Job!$B$9</definedName>
    <definedName name="IndexNo">Job!$B$10</definedName>
    <definedName name="CaseDates">Job!$B$11</definedName>
    <definedName name="Judge">Job!$B$12</definedName>
    <definedName name="Part">Job!$B$13</definedName>
    <definedName name="Court">Job!$B$14</definedName>
    <definedName name="BillName">Job!$B$17</definedName>
    <definedName name="BillFirm">Job!$B$18</definedName>
    <definedName name="BillAddress1">Job!$B$19</definedName>
    <definedName name="BillAddress2">Job!$B$20</definedName>
    <definedName name="BillEmail">Job!$B$21</definedName>
    <definedName name="CalcSpeeds">Calculation!$A$2:$A$5</definedName>
    <definedName name="CalcEach">Calculation!$L$2:$L$5</definedName>
    <definedName name="CalcPerPage">Calculation!$M$2:$M$5</definedName>
    <definedName name="_xlnm.Print_Area" localSheetId="4">'Invoice'!$A$1:$D$43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yy"/>
  </numFmts>
  <fonts count="9">
    <font>
      <name val="Calibri"/>
      <family val="2"/>
      <color theme="1"/>
      <sz val="11"/>
      <scheme val="minor"/>
    </font>
    <font>
      <b val="1"/>
    </font>
    <font>
      <color rgb="006B6880"/>
    </font>
    <font>
      <b val="1"/>
      <color rgb="00FFFFFF"/>
    </font>
    <font>
      <b val="1"/>
      <sz val="14"/>
    </font>
    <font>
      <b val="1"/>
      <color rgb="004B3F8F"/>
      <sz val="20"/>
    </font>
    <font>
      <b val="1"/>
      <color rgb="006B6880"/>
      <sz val="9"/>
    </font>
    <font>
      <b val="1"/>
      <sz val="12"/>
    </font>
    <font>
      <color rgb="006B6880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4B3F8F"/>
      </patternFill>
    </fill>
  </fills>
  <borders count="2">
    <border>
      <left/>
      <right/>
      <top/>
      <bottom/>
      <diagonal/>
    </border>
    <border>
      <bottom style="thin">
        <color rgb="00D9D6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164" fontId="0" fillId="2" borderId="0" pivotButton="0" quotePrefix="0" xfId="0"/>
    <xf numFmtId="0" fontId="0" fillId="2" borderId="0" pivotButton="0" quotePrefix="0" xfId="0"/>
    <xf numFmtId="165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right"/>
    </xf>
    <xf numFmtId="0" fontId="7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YOUR DETAILS (printed on every invoice)</t>
        </is>
      </c>
    </row>
    <row r="2">
      <c r="A2" s="2" t="inlineStr">
        <is>
          <t>Name</t>
        </is>
      </c>
      <c r="B2" s="3" t="inlineStr">
        <is>
          <t>Pat Reporter</t>
        </is>
      </c>
    </row>
    <row r="3">
      <c r="A3" s="2" t="inlineStr">
        <is>
          <t>Title</t>
        </is>
      </c>
      <c r="B3" s="3" t="inlineStr">
        <is>
          <t>Senior Court Reporter</t>
        </is>
      </c>
    </row>
    <row r="4">
      <c r="A4" s="2" t="inlineStr">
        <is>
          <t>Court / address</t>
        </is>
      </c>
      <c r="B4" s="3" t="inlineStr">
        <is>
          <t>Supreme Court, Example County</t>
        </is>
      </c>
    </row>
    <row r="5">
      <c r="A5" s="2" t="inlineStr">
        <is>
          <t>City, state, ZIP</t>
        </is>
      </c>
      <c r="B5" s="3" t="inlineStr">
        <is>
          <t>123 Example Street, Room 100, Anytown, NY 10000</t>
        </is>
      </c>
    </row>
    <row r="6">
      <c r="A6" s="2" t="inlineStr">
        <is>
          <t>Phone</t>
        </is>
      </c>
      <c r="B6" s="3" t="inlineStr">
        <is>
          <t>(555) 555-0100</t>
        </is>
      </c>
    </row>
    <row r="7">
      <c r="A7" s="2" t="inlineStr">
        <is>
          <t>E-mail</t>
        </is>
      </c>
      <c r="B7" s="3" t="inlineStr">
        <is>
          <t>pat.reporter@example.com</t>
        </is>
      </c>
    </row>
    <row r="8">
      <c r="A8" s="2" t="inlineStr">
        <is>
          <t>Website</t>
        </is>
      </c>
      <c r="B8" s="3" t="inlineStr"/>
    </row>
    <row r="9">
      <c r="A9" s="2" t="inlineStr"/>
      <c r="B9" s="4" t="inlineStr"/>
    </row>
    <row r="10">
      <c r="A10" s="1" t="inlineStr">
        <is>
          <t>PAYMENT METHODS (one per line, blank lines are skipped)</t>
        </is>
      </c>
    </row>
    <row r="11">
      <c r="A11" s="2" t="inlineStr">
        <is>
          <t>Payment 1</t>
        </is>
      </c>
      <c r="B11" s="3" t="inlineStr">
        <is>
          <t>Zelle: (555) 555-0100</t>
        </is>
      </c>
    </row>
    <row r="12">
      <c r="A12" s="2" t="inlineStr">
        <is>
          <t>Payment 2</t>
        </is>
      </c>
      <c r="B12" s="3" t="inlineStr">
        <is>
          <t>Check: payable to Pat Reporter, mailed to</t>
        </is>
      </c>
    </row>
    <row r="13">
      <c r="A13" s="2" t="inlineStr">
        <is>
          <t>Payment 3</t>
        </is>
      </c>
      <c r="B13" s="3" t="inlineStr">
        <is>
          <t>Pat Reporter, Court Reporter, 123 Example Street, Room 100, Anytown, NY 10000</t>
        </is>
      </c>
    </row>
    <row r="14">
      <c r="A14" s="2" t="inlineStr">
        <is>
          <t>Payment 4</t>
        </is>
      </c>
      <c r="B14" s="3" t="inlineStr">
        <is>
          <t>The transcript is sent after the check clears.</t>
        </is>
      </c>
    </row>
    <row r="15">
      <c r="A15" s="2" t="inlineStr">
        <is>
          <t>Payment 5</t>
        </is>
      </c>
      <c r="B15" s="3" t="inlineStr"/>
    </row>
    <row r="16">
      <c r="A16" s="2" t="inlineStr">
        <is>
          <t>Footer note</t>
        </is>
      </c>
      <c r="B16" s="3" t="inlineStr">
        <is>
          <t>I am in the courtroom during the day, so e-mail is the best way to reach me. Please send a short e-mail after paying so I can start on your transcript.</t>
        </is>
      </c>
    </row>
    <row r="17">
      <c r="A17" s="2" t="inlineStr"/>
      <c r="B17" s="4" t="inlineStr"/>
    </row>
    <row r="18">
      <c r="A18" s="1" t="inlineStr">
        <is>
          <t>OPTIONS</t>
        </is>
      </c>
    </row>
    <row r="19">
      <c r="A19" s="2" t="inlineStr">
        <is>
          <t>Offer every speed (choice invoice)</t>
        </is>
      </c>
      <c r="B19" s="3" t="b">
        <v>1</v>
      </c>
    </row>
    <row r="20">
      <c r="A20" s="2" t="inlineStr">
        <is>
          <t>Offer Expedite</t>
        </is>
      </c>
      <c r="B20" s="3" t="b">
        <v>1</v>
      </c>
    </row>
    <row r="21">
      <c r="A21" s="2" t="inlineStr">
        <is>
          <t>Offer Daily</t>
        </is>
      </c>
      <c r="B21" s="3" t="b">
        <v>1</v>
      </c>
    </row>
    <row r="22">
      <c r="A22" s="2" t="inlineStr">
        <is>
          <t>E-mailed copy for each party</t>
        </is>
      </c>
      <c r="B22" s="3" t="b">
        <v>1</v>
      </c>
    </row>
    <row r="23">
      <c r="A23" s="2" t="inlineStr">
        <is>
          <t>Index + judge's index</t>
        </is>
      </c>
      <c r="B23" s="3" t="b">
        <v>1</v>
      </c>
    </row>
    <row r="24">
      <c r="A24" s="2" t="inlineStr">
        <is>
          <t>...from this many pages</t>
        </is>
      </c>
      <c r="B24" s="3" t="n">
        <v>50</v>
      </c>
    </row>
    <row r="25">
      <c r="A25" s="2" t="inlineStr">
        <is>
          <t>Index for each party (FALSE: one, split)</t>
        </is>
      </c>
      <c r="B25" s="3" t="b">
        <v>0</v>
      </c>
    </row>
    <row r="26">
      <c r="A26" s="2" t="inlineStr"/>
      <c r="B26" s="4" t="inlineStr"/>
    </row>
    <row r="27">
      <c r="A27" s="1" t="inlineStr">
        <is>
          <t>TURNAROUND WORDING</t>
        </is>
      </c>
    </row>
    <row r="28">
      <c r="A28" s="2" t="inlineStr">
        <is>
          <t>Immediate</t>
        </is>
      </c>
      <c r="B28" s="3" t="inlineStr">
        <is>
          <t>Delivered at the time of trial.</t>
        </is>
      </c>
    </row>
    <row r="29">
      <c r="A29" s="2" t="inlineStr">
        <is>
          <t>Daily</t>
        </is>
      </c>
      <c r="B29" s="3" t="inlineStr">
        <is>
          <t>1 business day from receipt of payment.</t>
        </is>
      </c>
    </row>
    <row r="30">
      <c r="A30" s="2" t="inlineStr">
        <is>
          <t>Expedite</t>
        </is>
      </c>
      <c r="B30" s="3" t="inlineStr">
        <is>
          <t>1 week from receipt of payment.</t>
        </is>
      </c>
    </row>
    <row r="31">
      <c r="A31" s="2" t="inlineStr">
        <is>
          <t>Regular</t>
        </is>
      </c>
      <c r="B31" s="3" t="inlineStr">
        <is>
          <t>2-4 weeks from receipt of payment.</t>
        </is>
      </c>
    </row>
  </sheetData>
  <dataValidations count="1">
    <dataValidation sqref="B19 B20 B21 B22 B23 B2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Rate</t>
        </is>
      </c>
      <c r="B1" s="5" t="inlineStr">
        <is>
          <t>Original</t>
        </is>
      </c>
      <c r="C1" s="5" t="inlineStr">
        <is>
          <t>Copy</t>
        </is>
      </c>
      <c r="D1" s="5" t="inlineStr">
        <is>
          <t>Email</t>
        </is>
      </c>
      <c r="E1" s="5" t="inlineStr">
        <is>
          <t>Index</t>
        </is>
      </c>
    </row>
    <row r="2">
      <c r="A2" t="inlineStr">
        <is>
          <t>Immediate</t>
        </is>
      </c>
      <c r="B2" s="6" t="n">
        <v>7.6</v>
      </c>
      <c r="C2" s="6" t="n">
        <v>1.45</v>
      </c>
      <c r="D2" s="6" t="n">
        <v>1.45</v>
      </c>
      <c r="E2" s="6" t="n">
        <v>1.45</v>
      </c>
    </row>
    <row r="3">
      <c r="A3" t="inlineStr">
        <is>
          <t>Daily</t>
        </is>
      </c>
      <c r="B3" s="6" t="n">
        <v>6.5</v>
      </c>
      <c r="C3" s="6" t="n">
        <v>1.3</v>
      </c>
      <c r="D3" s="6" t="n">
        <v>1.3</v>
      </c>
      <c r="E3" s="6" t="n">
        <v>1.3</v>
      </c>
    </row>
    <row r="4">
      <c r="A4" t="inlineStr">
        <is>
          <t>Expedite</t>
        </is>
      </c>
      <c r="B4" s="6" t="n">
        <v>5.4</v>
      </c>
      <c r="C4" s="6" t="n">
        <v>1.1</v>
      </c>
      <c r="D4" s="6" t="n">
        <v>1.1</v>
      </c>
      <c r="E4" s="6" t="n">
        <v>1.1</v>
      </c>
    </row>
    <row r="5">
      <c r="A5" t="inlineStr">
        <is>
          <t>Regular</t>
        </is>
      </c>
      <c r="B5" s="6" t="n">
        <v>4.3</v>
      </c>
      <c r="C5" s="6" t="n">
        <v>1</v>
      </c>
      <c r="D5" s="6" t="n">
        <v>1</v>
      </c>
      <c r="E5" s="6" t="n">
        <v>1</v>
      </c>
    </row>
    <row r="8">
      <c r="A8" t="inlineStr">
        <is>
          <t>Rates last updated:</t>
        </is>
      </c>
      <c r="B8" s="7" t="inlineStr">
        <is>
          <t>5/2/2024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</cols>
  <sheetData>
    <row r="1">
      <c r="A1" s="1" t="inlineStr">
        <is>
          <t>THIS INVOICE</t>
        </is>
      </c>
    </row>
    <row r="2">
      <c r="A2" s="2" t="inlineStr">
        <is>
          <t>Invoice No.</t>
        </is>
      </c>
      <c r="B2" s="3" t="inlineStr">
        <is>
          <t>2026-0001</t>
        </is>
      </c>
    </row>
    <row r="3">
      <c r="A3" s="2" t="inlineStr">
        <is>
          <t>Invoice date</t>
        </is>
      </c>
      <c r="B3" s="8">
        <f>TODAY()</f>
        <v/>
      </c>
    </row>
    <row r="4">
      <c r="A4" s="2" t="inlineStr">
        <is>
          <t>Pages</t>
        </is>
      </c>
      <c r="B4" s="3" t="n">
        <v>30</v>
      </c>
    </row>
    <row r="5">
      <c r="A5" s="2" t="inlineStr">
        <is>
          <t>Ordering parties</t>
        </is>
      </c>
      <c r="B5" s="3" t="n">
        <v>1</v>
      </c>
    </row>
    <row r="6">
      <c r="A6" s="2" t="inlineStr">
        <is>
          <t>Speed (when not offering every speed)</t>
        </is>
      </c>
      <c r="B6" s="3" t="inlineStr">
        <is>
          <t>Regular</t>
        </is>
      </c>
    </row>
    <row r="7">
      <c r="A7" s="2" t="inlineStr"/>
      <c r="B7" s="4" t="inlineStr"/>
    </row>
    <row r="8">
      <c r="A8" s="1" t="inlineStr">
        <is>
          <t>CASE</t>
        </is>
      </c>
    </row>
    <row r="9">
      <c r="A9" s="2" t="inlineStr">
        <is>
          <t>Title</t>
        </is>
      </c>
      <c r="B9" s="3" t="inlineStr">
        <is>
          <t>Smith v. Jones</t>
        </is>
      </c>
    </row>
    <row r="10">
      <c r="A10" s="2" t="inlineStr">
        <is>
          <t>Index No.</t>
        </is>
      </c>
      <c r="B10" s="3" t="inlineStr">
        <is>
          <t>712222/2024</t>
        </is>
      </c>
    </row>
    <row r="11">
      <c r="A11" s="2" t="inlineStr">
        <is>
          <t>Date(s) of proceedings</t>
        </is>
      </c>
      <c r="B11" s="3" t="inlineStr">
        <is>
          <t>5/22/2026</t>
        </is>
      </c>
    </row>
    <row r="12">
      <c r="A12" s="2" t="inlineStr">
        <is>
          <t>Judge</t>
        </is>
      </c>
      <c r="B12" s="3" t="inlineStr">
        <is>
          <t>Hon. A. Example</t>
        </is>
      </c>
    </row>
    <row r="13">
      <c r="A13" s="2" t="inlineStr">
        <is>
          <t>Part</t>
        </is>
      </c>
      <c r="B13" s="3" t="inlineStr">
        <is>
          <t>53</t>
        </is>
      </c>
    </row>
    <row r="14">
      <c r="A14" s="2" t="inlineStr">
        <is>
          <t>Court</t>
        </is>
      </c>
      <c r="B14" s="3" t="inlineStr">
        <is>
          <t>Supreme Court, Example County</t>
        </is>
      </c>
    </row>
    <row r="15">
      <c r="A15" s="2" t="inlineStr"/>
      <c r="B15" s="4" t="inlineStr"/>
    </row>
    <row r="16">
      <c r="A16" s="1" t="inlineStr">
        <is>
          <t>BILL TO</t>
        </is>
      </c>
    </row>
    <row r="17">
      <c r="A17" s="2" t="inlineStr">
        <is>
          <t>Attorney</t>
        </is>
      </c>
      <c r="B17" s="3" t="inlineStr">
        <is>
          <t>Alex Example, Esq.</t>
        </is>
      </c>
    </row>
    <row r="18">
      <c r="A18" s="2" t="inlineStr">
        <is>
          <t>Firm</t>
        </is>
      </c>
      <c r="B18" s="3" t="inlineStr">
        <is>
          <t>Example Firm LLP</t>
        </is>
      </c>
    </row>
    <row r="19">
      <c r="A19" s="2" t="inlineStr">
        <is>
          <t>Address</t>
        </is>
      </c>
      <c r="B19" s="3" t="inlineStr">
        <is>
          <t>1 Main Street</t>
        </is>
      </c>
    </row>
    <row r="20">
      <c r="A20" s="2" t="inlineStr">
        <is>
          <t>City, state, ZIP</t>
        </is>
      </c>
      <c r="B20" s="3" t="inlineStr">
        <is>
          <t>Anytown, NY 10000</t>
        </is>
      </c>
    </row>
    <row r="21">
      <c r="A21" s="2" t="inlineStr">
        <is>
          <t>E-mail</t>
        </is>
      </c>
      <c r="B21" s="3" t="inlineStr">
        <is>
          <t>billing@examplefirm.com</t>
        </is>
      </c>
    </row>
  </sheetData>
  <dataValidations count="3">
    <dataValidation sqref="B6" showDropDown="0" showInputMessage="0" showErrorMessage="0" allowBlank="0" type="list">
      <formula1>"Immediate,Daily,Expedite,Regular"</formula1>
    </dataValidation>
    <dataValidation sqref="B5" showDropDown="0" showInputMessage="0" showErrorMessage="0" allowBlank="0" type="whole" operator="between">
      <formula1>1</formula1>
      <formula2>20</formula2>
    </dataValidation>
    <dataValidation sqref="B4" showDropDown="0" showInputMessage="0" showErrorMessage="0" allowBlank="0" type="whole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9" t="inlineStr">
        <is>
          <t>Speed</t>
        </is>
      </c>
      <c r="B1" s="9" t="inlineStr">
        <is>
          <t>Original rate</t>
        </is>
      </c>
      <c r="C1" s="9" t="inlineStr">
        <is>
          <t>Copy rate</t>
        </is>
      </c>
      <c r="D1" s="9" t="inlineStr">
        <is>
          <t>Email rate</t>
        </is>
      </c>
      <c r="E1" s="9" t="inlineStr">
        <is>
          <t>Index rate</t>
        </is>
      </c>
      <c r="F1" s="9" t="inlineStr">
        <is>
          <t>Original</t>
        </is>
      </c>
      <c r="G1" s="9" t="inlineStr">
        <is>
          <t>Copies</t>
        </is>
      </c>
      <c r="H1" s="9" t="inlineStr">
        <is>
          <t>E-mailed copies</t>
        </is>
      </c>
      <c r="I1" s="9" t="inlineStr">
        <is>
          <t>Index</t>
        </is>
      </c>
      <c r="J1" s="9" t="inlineStr">
        <is>
          <t>Judge's index</t>
        </is>
      </c>
      <c r="K1" s="9" t="inlineStr">
        <is>
          <t>Total</t>
        </is>
      </c>
      <c r="L1" s="9" t="inlineStr">
        <is>
          <t>Each party pays</t>
        </is>
      </c>
      <c r="M1" s="9" t="inlineStr">
        <is>
          <t>Per page (each)</t>
        </is>
      </c>
    </row>
    <row r="2">
      <c r="A2" t="inlineStr">
        <is>
          <t>Immediate</t>
        </is>
      </c>
      <c r="B2" s="10">
        <f>VLOOKUP($A2,RateTable,2,FALSE)</f>
        <v/>
      </c>
      <c r="C2" s="10">
        <f>VLOOKUP($A2,RateTable,3,FALSE)</f>
        <v/>
      </c>
      <c r="D2" s="10">
        <f>VLOOKUP($A2,RateTable,4,FALSE)</f>
        <v/>
      </c>
      <c r="E2" s="10">
        <f>VLOOKUP($A2,RateTable,5,FALSE)</f>
        <v/>
      </c>
      <c r="F2" s="10">
        <f>Pages*B2</f>
        <v/>
      </c>
      <c r="G2" s="10">
        <f>Pages*C2*Parties</f>
        <v/>
      </c>
      <c r="H2" s="10">
        <f>IF(EmailCopies,Pages*D2*Parties,0)</f>
        <v/>
      </c>
      <c r="I2" s="10">
        <f>IF(AND(Indexes,Pages&gt;=IndexFrom),Pages*E2*IF(IndexEach,Parties,1),0)</f>
        <v/>
      </c>
      <c r="J2" s="10">
        <f>IF(I2&gt;0,Pages*E2,0)</f>
        <v/>
      </c>
      <c r="K2" s="10">
        <f>SUM(F2:J2)</f>
        <v/>
      </c>
      <c r="L2" s="10">
        <f>ROUNDUP(ROUND(K2/Parties,6),2)</f>
        <v/>
      </c>
      <c r="M2" s="10">
        <f>ROUND(L2/Pages,2)</f>
        <v/>
      </c>
    </row>
    <row r="3">
      <c r="A3" t="inlineStr">
        <is>
          <t>Daily</t>
        </is>
      </c>
      <c r="B3" s="10">
        <f>VLOOKUP($A3,RateTable,2,FALSE)</f>
        <v/>
      </c>
      <c r="C3" s="10">
        <f>VLOOKUP($A3,RateTable,3,FALSE)</f>
        <v/>
      </c>
      <c r="D3" s="10">
        <f>VLOOKUP($A3,RateTable,4,FALSE)</f>
        <v/>
      </c>
      <c r="E3" s="10">
        <f>VLOOKUP($A3,RateTable,5,FALSE)</f>
        <v/>
      </c>
      <c r="F3" s="10">
        <f>Pages*B3</f>
        <v/>
      </c>
      <c r="G3" s="10">
        <f>Pages*C3*Parties</f>
        <v/>
      </c>
      <c r="H3" s="10">
        <f>IF(EmailCopies,Pages*D3*Parties,0)</f>
        <v/>
      </c>
      <c r="I3" s="10">
        <f>IF(AND(Indexes,Pages&gt;=IndexFrom),Pages*E3*IF(IndexEach,Parties,1),0)</f>
        <v/>
      </c>
      <c r="J3" s="10">
        <f>IF(I3&gt;0,Pages*E3,0)</f>
        <v/>
      </c>
      <c r="K3" s="10">
        <f>SUM(F3:J3)</f>
        <v/>
      </c>
      <c r="L3" s="10">
        <f>ROUNDUP(ROUND(K3/Parties,6),2)</f>
        <v/>
      </c>
      <c r="M3" s="10">
        <f>ROUND(L3/Pages,2)</f>
        <v/>
      </c>
    </row>
    <row r="4">
      <c r="A4" t="inlineStr">
        <is>
          <t>Expedite</t>
        </is>
      </c>
      <c r="B4" s="10">
        <f>VLOOKUP($A4,RateTable,2,FALSE)</f>
        <v/>
      </c>
      <c r="C4" s="10">
        <f>VLOOKUP($A4,RateTable,3,FALSE)</f>
        <v/>
      </c>
      <c r="D4" s="10">
        <f>VLOOKUP($A4,RateTable,4,FALSE)</f>
        <v/>
      </c>
      <c r="E4" s="10">
        <f>VLOOKUP($A4,RateTable,5,FALSE)</f>
        <v/>
      </c>
      <c r="F4" s="10">
        <f>Pages*B4</f>
        <v/>
      </c>
      <c r="G4" s="10">
        <f>Pages*C4*Parties</f>
        <v/>
      </c>
      <c r="H4" s="10">
        <f>IF(EmailCopies,Pages*D4*Parties,0)</f>
        <v/>
      </c>
      <c r="I4" s="10">
        <f>IF(AND(Indexes,Pages&gt;=IndexFrom),Pages*E4*IF(IndexEach,Parties,1),0)</f>
        <v/>
      </c>
      <c r="J4" s="10">
        <f>IF(I4&gt;0,Pages*E4,0)</f>
        <v/>
      </c>
      <c r="K4" s="10">
        <f>SUM(F4:J4)</f>
        <v/>
      </c>
      <c r="L4" s="10">
        <f>ROUNDUP(ROUND(K4/Parties,6),2)</f>
        <v/>
      </c>
      <c r="M4" s="10">
        <f>ROUND(L4/Pages,2)</f>
        <v/>
      </c>
    </row>
    <row r="5">
      <c r="A5" t="inlineStr">
        <is>
          <t>Regular</t>
        </is>
      </c>
      <c r="B5" s="10">
        <f>VLOOKUP($A5,RateTable,2,FALSE)</f>
        <v/>
      </c>
      <c r="C5" s="10">
        <f>VLOOKUP($A5,RateTable,3,FALSE)</f>
        <v/>
      </c>
      <c r="D5" s="10">
        <f>VLOOKUP($A5,RateTable,4,FALSE)</f>
        <v/>
      </c>
      <c r="E5" s="10">
        <f>VLOOKUP($A5,RateTable,5,FALSE)</f>
        <v/>
      </c>
      <c r="F5" s="10">
        <f>Pages*B5</f>
        <v/>
      </c>
      <c r="G5" s="10">
        <f>Pages*C5*Parties</f>
        <v/>
      </c>
      <c r="H5" s="10">
        <f>IF(EmailCopies,Pages*D5*Parties,0)</f>
        <v/>
      </c>
      <c r="I5" s="10">
        <f>IF(AND(Indexes,Pages&gt;=IndexFrom),Pages*E5*IF(IndexEach,Parties,1),0)</f>
        <v/>
      </c>
      <c r="J5" s="10">
        <f>IF(I5&gt;0,Pages*E5,0)</f>
        <v/>
      </c>
      <c r="K5" s="10">
        <f>SUM(F5:J5)</f>
        <v/>
      </c>
      <c r="L5" s="10">
        <f>ROUNDUP(ROUND(K5/Parties,6),2)</f>
        <v/>
      </c>
      <c r="M5" s="10">
        <f>ROUND(L5/Pages,2)</f>
        <v/>
      </c>
    </row>
    <row r="7">
      <c r="A7" s="2" t="inlineStr">
        <is>
          <t>Each party pays one share of the original, the index and the judge's index (the index in full when Setup says each party gets one), plus their own copy and e-mailed copy, rounded up to the cent. Every party orders every page.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3" customWidth="1" min="3" max="3"/>
    <col width="17" customWidth="1" min="4" max="4"/>
  </cols>
  <sheetData>
    <row r="1">
      <c r="A1" s="11">
        <f>MyName</f>
        <v/>
      </c>
      <c r="D1" s="12" t="inlineStr">
        <is>
          <t>INVOICE</t>
        </is>
      </c>
    </row>
    <row r="2">
      <c r="A2" s="2">
        <f>IF(MyTitle="","",MyTitle)</f>
        <v/>
      </c>
      <c r="D2" s="13">
        <f>"No. "&amp;InvoiceNo</f>
        <v/>
      </c>
    </row>
    <row r="3">
      <c r="A3" s="2">
        <f>IF(MyAddress1="","",MyAddress1)</f>
        <v/>
      </c>
      <c r="D3" s="14">
        <f>InvoiceDate</f>
        <v/>
      </c>
    </row>
    <row r="4">
      <c r="A4" s="2">
        <f>IF(MyAddress2="","",MyAddress2)</f>
        <v/>
      </c>
    </row>
    <row r="5">
      <c r="A5" s="2">
        <f>IF(MyPhone="","",MyPhone)</f>
        <v/>
      </c>
    </row>
    <row r="6">
      <c r="A6" s="2">
        <f>IF(MyEmail="","",MyEmail)</f>
        <v/>
      </c>
    </row>
    <row r="7">
      <c r="A7" s="2">
        <f>IF(MyWebsite="","",MyWebsite)</f>
        <v/>
      </c>
    </row>
    <row r="9">
      <c r="A9" s="15" t="inlineStr">
        <is>
          <t>BILL TO</t>
        </is>
      </c>
    </row>
    <row r="10">
      <c r="A10">
        <f>IF(BillName="","",BillName)</f>
        <v/>
      </c>
    </row>
    <row r="11">
      <c r="A11">
        <f>IF(BillFirm="","",BillFirm)</f>
        <v/>
      </c>
    </row>
    <row r="12">
      <c r="A12">
        <f>IF(BillAddress1="","",BillAddress1)</f>
        <v/>
      </c>
    </row>
    <row r="13">
      <c r="A13">
        <f>IF(BillAddress2="","",BillAddress2)</f>
        <v/>
      </c>
    </row>
    <row r="14">
      <c r="A14">
        <f>IF(BillEmail="","",BillEmail)</f>
        <v/>
      </c>
    </row>
    <row r="16">
      <c r="A16" s="15" t="inlineStr">
        <is>
          <t>TRANSCRIPT</t>
        </is>
      </c>
    </row>
    <row r="17">
      <c r="A17" s="2" t="inlineStr">
        <is>
          <t>Case</t>
        </is>
      </c>
      <c r="B17" s="16">
        <f>CaseTitle</f>
        <v/>
      </c>
    </row>
    <row r="18">
      <c r="A18" s="2" t="inlineStr">
        <is>
          <t>Index No.</t>
        </is>
      </c>
      <c r="B18" s="16">
        <f>IndexNo</f>
        <v/>
      </c>
    </row>
    <row r="19">
      <c r="A19" s="2" t="inlineStr">
        <is>
          <t>Court</t>
        </is>
      </c>
      <c r="B19" s="16">
        <f>Court</f>
        <v/>
      </c>
    </row>
    <row r="20">
      <c r="A20" s="2" t="inlineStr">
        <is>
          <t>Part</t>
        </is>
      </c>
      <c r="B20" s="16">
        <f>Part</f>
        <v/>
      </c>
    </row>
    <row r="21">
      <c r="A21" s="2" t="inlineStr">
        <is>
          <t>Judge</t>
        </is>
      </c>
      <c r="B21" s="16">
        <f>Judge</f>
        <v/>
      </c>
    </row>
    <row r="22">
      <c r="A22" s="2" t="inlineStr">
        <is>
          <t>Date(s)</t>
        </is>
      </c>
      <c r="B22" s="16">
        <f>CaseDates</f>
        <v/>
      </c>
    </row>
    <row r="23">
      <c r="A23" s="2" t="inlineStr">
        <is>
          <t>Pages</t>
        </is>
      </c>
      <c r="B23" s="16">
        <f>Pages</f>
        <v/>
      </c>
    </row>
    <row r="25">
      <c r="A25" s="15">
        <f>IF(OfferChoice,"CHOOSE ONE","DELIVERY")</f>
        <v/>
      </c>
    </row>
    <row r="26">
      <c r="A26" s="5" t="inlineStr">
        <is>
          <t>Speed</t>
        </is>
      </c>
      <c r="B26" s="5" t="inlineStr">
        <is>
          <t>Turnaround</t>
        </is>
      </c>
      <c r="C26" s="17" t="inlineStr">
        <is>
          <t>Per page</t>
        </is>
      </c>
      <c r="D26" s="17" t="inlineStr">
        <is>
          <t>Amount due</t>
        </is>
      </c>
    </row>
    <row r="27">
      <c r="A27" s="18">
        <f>IF(OfferChoice,"Regular",Speed)</f>
        <v/>
      </c>
      <c r="B27" s="19">
        <f>IF(A27="","",VLOOKUP(A27,Turnaround,2,FALSE))</f>
        <v/>
      </c>
      <c r="C27" s="20">
        <f>IF(A27="","",INDEX(CalcPerPage,MATCH(A27,CalcSpeeds,0)))</f>
        <v/>
      </c>
      <c r="D27" s="21">
        <f>IF(A27="","",INDEX(CalcEach,MATCH(A27,CalcSpeeds,0)))</f>
        <v/>
      </c>
    </row>
    <row r="28">
      <c r="A28" s="18">
        <f>IF(AND(OfferChoice,OfferExpedite),"Expedite","")</f>
        <v/>
      </c>
      <c r="B28" s="19">
        <f>IF(A28="","",VLOOKUP(A28,Turnaround,2,FALSE))</f>
        <v/>
      </c>
      <c r="C28" s="20">
        <f>IF(A28="","",INDEX(CalcPerPage,MATCH(A28,CalcSpeeds,0)))</f>
        <v/>
      </c>
      <c r="D28" s="21">
        <f>IF(A28="","",INDEX(CalcEach,MATCH(A28,CalcSpeeds,0)))</f>
        <v/>
      </c>
    </row>
    <row r="29">
      <c r="A29" s="18">
        <f>IF(AND(OfferChoice,OfferDaily),"Daily","")</f>
        <v/>
      </c>
      <c r="B29" s="19">
        <f>IF(A29="","",VLOOKUP(A29,Turnaround,2,FALSE))</f>
        <v/>
      </c>
      <c r="C29" s="20">
        <f>IF(A29="","",INDEX(CalcPerPage,MATCH(A29,CalcSpeeds,0)))</f>
        <v/>
      </c>
      <c r="D29" s="21">
        <f>IF(A29="","",INDEX(CalcEach,MATCH(A29,CalcSpeeds,0)))</f>
        <v/>
      </c>
    </row>
    <row r="31">
      <c r="A31">
        <f>IF(OfferChoice,"Please choose one delivery option and pay the amount shown for it.","")</f>
        <v/>
      </c>
    </row>
    <row r="32">
      <c r="A32">
        <f>IF(Parties&gt;1,"Amounts are per party ("&amp;Parties&amp;" parties ordered). The transcript is delivered once every party has paid.","The transcript is sent after payment is received.")</f>
        <v/>
      </c>
    </row>
    <row r="34">
      <c r="A34" s="15" t="inlineStr">
        <is>
          <t>PAYMENT</t>
        </is>
      </c>
    </row>
    <row r="35">
      <c r="A35">
        <f>IF(PayLine1="","",PayLine1)</f>
        <v/>
      </c>
    </row>
    <row r="36">
      <c r="A36">
        <f>IF(PayLine2="","",PayLine2)</f>
        <v/>
      </c>
    </row>
    <row r="37">
      <c r="A37">
        <f>IF(PayLine3="","",PayLine3)</f>
        <v/>
      </c>
    </row>
    <row r="38">
      <c r="A38">
        <f>IF(PayLine4="","",PayLine4)</f>
        <v/>
      </c>
    </row>
    <row r="39">
      <c r="A39">
        <f>IF(PayLine5="","",PayLine5)</f>
        <v/>
      </c>
    </row>
    <row r="41">
      <c r="A41" s="22">
        <f>Footer</f>
        <v/>
      </c>
    </row>
    <row r="42"/>
    <row r="43"/>
  </sheetData>
  <mergeCells count="1">
    <mergeCell ref="A41:D43"/>
  </mergeCells>
  <printOptions horizontalCentered="1"/>
  <pageMargins left="0.75" right="0.75" top="1" bottom="1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6" customWidth="1" min="3" max="3"/>
    <col width="12" customWidth="1" min="4" max="4"/>
    <col width="10" customWidth="1" min="5" max="5"/>
    <col width="36" customWidth="1" min="6" max="6"/>
    <col width="12" customWidth="1" min="7" max="7"/>
    <col width="26" customWidth="1" min="8" max="8"/>
  </cols>
  <sheetData>
    <row r="1">
      <c r="A1" t="inlineStr">
        <is>
          <t>Case</t>
        </is>
      </c>
      <c r="B1">
        <f>CaseTitle</f>
        <v/>
      </c>
      <c r="C1" t="inlineStr"/>
      <c r="D1" t="inlineStr">
        <is>
          <t>Index No.</t>
        </is>
      </c>
      <c r="E1">
        <f>IndexNo</f>
        <v/>
      </c>
      <c r="F1" t="inlineStr"/>
      <c r="G1" t="inlineStr">
        <is>
          <t>Judge</t>
        </is>
      </c>
      <c r="H1">
        <f>Judge</f>
        <v/>
      </c>
    </row>
    <row r="3">
      <c r="A3" s="5" t="inlineStr">
        <is>
          <t>Plf Exhibit</t>
        </is>
      </c>
      <c r="B3" s="5" t="inlineStr">
        <is>
          <t>ID / Evd</t>
        </is>
      </c>
      <c r="C3" s="5" t="inlineStr">
        <is>
          <t>Description</t>
        </is>
      </c>
      <c r="D3" s="5" t="inlineStr">
        <is>
          <t>Deft Exhibit</t>
        </is>
      </c>
      <c r="E3" s="5" t="inlineStr">
        <is>
          <t>ID / Evd</t>
        </is>
      </c>
      <c r="F3" s="5" t="inlineStr">
        <is>
          <t>Description</t>
        </is>
      </c>
      <c r="G3" s="5" t="inlineStr">
        <is>
          <t>Date(s)</t>
        </is>
      </c>
      <c r="H3" s="5" t="inlineStr">
        <is>
          <t>Witness</t>
        </is>
      </c>
    </row>
    <row r="4">
      <c r="A4" t="n">
        <v>1</v>
      </c>
      <c r="B4" t="inlineStr"/>
      <c r="C4" t="inlineStr"/>
      <c r="D4" t="inlineStr">
        <is>
          <t>A</t>
        </is>
      </c>
      <c r="E4" t="inlineStr"/>
      <c r="F4" t="inlineStr"/>
      <c r="G4" t="inlineStr"/>
      <c r="H4" t="inlineStr"/>
    </row>
    <row r="5">
      <c r="A5" t="n">
        <v>2</v>
      </c>
      <c r="B5" t="inlineStr"/>
      <c r="C5" t="inlineStr"/>
      <c r="D5" t="inlineStr">
        <is>
          <t>B</t>
        </is>
      </c>
      <c r="E5" t="inlineStr"/>
      <c r="F5" t="inlineStr"/>
      <c r="G5" t="inlineStr"/>
      <c r="H5" t="inlineStr"/>
    </row>
    <row r="6">
      <c r="A6" t="n">
        <v>3</v>
      </c>
      <c r="B6" t="inlineStr"/>
      <c r="C6" t="inlineStr"/>
      <c r="D6" t="inlineStr">
        <is>
          <t>C</t>
        </is>
      </c>
      <c r="E6" t="inlineStr"/>
      <c r="F6" t="inlineStr"/>
      <c r="G6" t="inlineStr"/>
      <c r="H6" t="inlineStr"/>
    </row>
    <row r="7">
      <c r="A7" t="n">
        <v>4</v>
      </c>
      <c r="B7" t="inlineStr"/>
      <c r="C7" t="inlineStr"/>
      <c r="D7" t="inlineStr">
        <is>
          <t>D</t>
        </is>
      </c>
      <c r="E7" t="inlineStr"/>
      <c r="F7" t="inlineStr"/>
      <c r="G7" t="inlineStr"/>
      <c r="H7" t="inlineStr"/>
    </row>
    <row r="8">
      <c r="A8" t="n">
        <v>5</v>
      </c>
      <c r="B8" t="inlineStr"/>
      <c r="C8" t="inlineStr"/>
      <c r="D8" t="inlineStr">
        <is>
          <t>E</t>
        </is>
      </c>
      <c r="E8" t="inlineStr"/>
      <c r="F8" t="inlineStr"/>
      <c r="G8" t="inlineStr"/>
      <c r="H8" t="inlineStr"/>
    </row>
    <row r="9">
      <c r="A9" t="n">
        <v>6</v>
      </c>
      <c r="B9" t="inlineStr"/>
      <c r="C9" t="inlineStr"/>
      <c r="D9" t="inlineStr">
        <is>
          <t>F</t>
        </is>
      </c>
      <c r="E9" t="inlineStr"/>
      <c r="F9" t="inlineStr"/>
      <c r="G9" t="inlineStr"/>
      <c r="H9" t="inlineStr"/>
    </row>
    <row r="10">
      <c r="A10" t="n">
        <v>7</v>
      </c>
      <c r="B10" t="inlineStr"/>
      <c r="C10" t="inlineStr"/>
      <c r="D10" t="inlineStr">
        <is>
          <t>G</t>
        </is>
      </c>
      <c r="E10" t="inlineStr"/>
      <c r="F10" t="inlineStr"/>
      <c r="G10" t="inlineStr"/>
      <c r="H10" t="inlineStr"/>
    </row>
    <row r="11">
      <c r="A11" t="n">
        <v>8</v>
      </c>
      <c r="B11" t="inlineStr"/>
      <c r="C11" t="inlineStr"/>
      <c r="D11" t="inlineStr">
        <is>
          <t>H</t>
        </is>
      </c>
      <c r="E11" t="inlineStr"/>
      <c r="F11" t="inlineStr"/>
      <c r="G11" t="inlineStr"/>
      <c r="H11" t="inlineStr"/>
    </row>
    <row r="12">
      <c r="A12" t="n">
        <v>9</v>
      </c>
      <c r="B12" t="inlineStr"/>
      <c r="C12" t="inlineStr"/>
      <c r="D12" t="inlineStr">
        <is>
          <t>I</t>
        </is>
      </c>
      <c r="E12" t="inlineStr"/>
      <c r="F12" t="inlineStr"/>
      <c r="G12" t="inlineStr"/>
      <c r="H12" t="inlineStr"/>
    </row>
    <row r="13">
      <c r="A13" t="n">
        <v>10</v>
      </c>
      <c r="B13" t="inlineStr"/>
      <c r="C13" t="inlineStr"/>
      <c r="D13" t="inlineStr">
        <is>
          <t>J</t>
        </is>
      </c>
      <c r="E13" t="inlineStr"/>
      <c r="F13" t="inlineStr"/>
      <c r="G13" t="inlineStr"/>
      <c r="H13" t="inlineStr"/>
    </row>
    <row r="14">
      <c r="A14" t="n">
        <v>11</v>
      </c>
      <c r="B14" t="inlineStr"/>
      <c r="C14" t="inlineStr"/>
      <c r="D14" t="inlineStr">
        <is>
          <t>K</t>
        </is>
      </c>
      <c r="E14" t="inlineStr"/>
      <c r="F14" t="inlineStr"/>
      <c r="G14" t="inlineStr"/>
      <c r="H14" t="inlineStr"/>
    </row>
    <row r="15">
      <c r="A15" t="n">
        <v>12</v>
      </c>
      <c r="B15" t="inlineStr"/>
      <c r="C15" t="inlineStr"/>
      <c r="D15" t="inlineStr">
        <is>
          <t>L</t>
        </is>
      </c>
      <c r="E15" t="inlineStr"/>
      <c r="F15" t="inlineStr"/>
      <c r="G15" t="inlineStr"/>
      <c r="H15" t="inlineStr"/>
    </row>
    <row r="16">
      <c r="A16" t="n">
        <v>13</v>
      </c>
      <c r="B16" t="inlineStr"/>
      <c r="C16" t="inlineStr"/>
      <c r="D16" t="inlineStr">
        <is>
          <t>M</t>
        </is>
      </c>
      <c r="E16" t="inlineStr"/>
      <c r="F16" t="inlineStr"/>
      <c r="G16" t="inlineStr"/>
      <c r="H16" t="inlineStr"/>
    </row>
    <row r="17">
      <c r="A17" t="n">
        <v>14</v>
      </c>
      <c r="B17" t="inlineStr"/>
      <c r="C17" t="inlineStr"/>
      <c r="D17" t="inlineStr">
        <is>
          <t>N</t>
        </is>
      </c>
      <c r="E17" t="inlineStr"/>
      <c r="F17" t="inlineStr"/>
      <c r="G17" t="inlineStr"/>
      <c r="H17" t="inlineStr"/>
    </row>
    <row r="18">
      <c r="A18" t="n">
        <v>15</v>
      </c>
      <c r="B18" t="inlineStr"/>
      <c r="C18" t="inlineStr"/>
      <c r="D18" t="inlineStr">
        <is>
          <t>O</t>
        </is>
      </c>
      <c r="E18" t="inlineStr"/>
      <c r="F18" t="inlineStr"/>
      <c r="G18" t="inlineStr"/>
      <c r="H18" t="inlineStr"/>
    </row>
    <row r="19">
      <c r="A19" t="n">
        <v>16</v>
      </c>
      <c r="B19" t="inlineStr"/>
      <c r="C19" t="inlineStr"/>
      <c r="D19" t="inlineStr">
        <is>
          <t>P</t>
        </is>
      </c>
      <c r="E19" t="inlineStr"/>
      <c r="F19" t="inlineStr"/>
      <c r="G19" t="inlineStr"/>
      <c r="H19" t="inlineStr"/>
    </row>
    <row r="20">
      <c r="A20" t="n">
        <v>17</v>
      </c>
      <c r="B20" t="inlineStr"/>
      <c r="C20" t="inlineStr"/>
      <c r="D20" t="inlineStr">
        <is>
          <t>Q</t>
        </is>
      </c>
      <c r="E20" t="inlineStr"/>
      <c r="F20" t="inlineStr"/>
      <c r="G20" t="inlineStr"/>
      <c r="H20" t="inlineStr"/>
    </row>
    <row r="21">
      <c r="A21" t="n">
        <v>18</v>
      </c>
      <c r="B21" t="inlineStr"/>
      <c r="C21" t="inlineStr"/>
      <c r="D21" t="inlineStr">
        <is>
          <t>R</t>
        </is>
      </c>
      <c r="E21" t="inlineStr"/>
      <c r="F21" t="inlineStr"/>
      <c r="G21" t="inlineStr"/>
      <c r="H21" t="inlineStr"/>
    </row>
    <row r="22">
      <c r="A22" t="n">
        <v>19</v>
      </c>
      <c r="B22" t="inlineStr"/>
      <c r="C22" t="inlineStr"/>
      <c r="D22" t="inlineStr">
        <is>
          <t>S</t>
        </is>
      </c>
      <c r="E22" t="inlineStr"/>
      <c r="F22" t="inlineStr"/>
      <c r="G22" t="inlineStr"/>
      <c r="H22" t="inlineStr"/>
    </row>
    <row r="23">
      <c r="A23" t="n">
        <v>20</v>
      </c>
      <c r="B23" t="inlineStr"/>
      <c r="C23" t="inlineStr"/>
      <c r="D23" t="inlineStr">
        <is>
          <t>T</t>
        </is>
      </c>
      <c r="E23" t="inlineStr"/>
      <c r="F23" t="inlineStr"/>
      <c r="G23" t="inlineStr"/>
      <c r="H23" t="inlineStr"/>
    </row>
    <row r="24">
      <c r="A24" t="n">
        <v>21</v>
      </c>
      <c r="B24" t="inlineStr"/>
      <c r="C24" t="inlineStr"/>
      <c r="D24" t="inlineStr">
        <is>
          <t>U</t>
        </is>
      </c>
      <c r="E24" t="inlineStr"/>
      <c r="F24" t="inlineStr"/>
      <c r="G24" t="inlineStr"/>
      <c r="H24" t="inlineStr"/>
    </row>
    <row r="25">
      <c r="A25" t="n">
        <v>22</v>
      </c>
      <c r="B25" t="inlineStr"/>
      <c r="C25" t="inlineStr"/>
      <c r="D25" t="inlineStr">
        <is>
          <t>V</t>
        </is>
      </c>
      <c r="E25" t="inlineStr"/>
      <c r="F25" t="inlineStr"/>
      <c r="G25" t="inlineStr"/>
      <c r="H25" t="inlineStr"/>
    </row>
    <row r="26">
      <c r="A26" t="n">
        <v>23</v>
      </c>
      <c r="B26" t="inlineStr"/>
      <c r="C26" t="inlineStr"/>
      <c r="D26" t="inlineStr">
        <is>
          <t>W</t>
        </is>
      </c>
      <c r="E26" t="inlineStr"/>
      <c r="F26" t="inlineStr"/>
      <c r="G26" t="inlineStr"/>
      <c r="H26" t="inlineStr"/>
    </row>
    <row r="27">
      <c r="A27" t="n">
        <v>24</v>
      </c>
      <c r="B27" t="inlineStr"/>
      <c r="C27" t="inlineStr"/>
      <c r="D27" t="inlineStr">
        <is>
          <t>X</t>
        </is>
      </c>
      <c r="E27" t="inlineStr"/>
      <c r="F27" t="inlineStr"/>
      <c r="G27" t="inlineStr"/>
      <c r="H27" t="inlineStr"/>
    </row>
    <row r="28">
      <c r="A28" t="n">
        <v>25</v>
      </c>
      <c r="B28" t="inlineStr"/>
      <c r="C28" t="inlineStr"/>
      <c r="D28" t="inlineStr">
        <is>
          <t>Y</t>
        </is>
      </c>
      <c r="E28" t="inlineStr"/>
      <c r="F28" t="inlineStr"/>
      <c r="G28" t="inlineStr"/>
      <c r="H28" t="inlineStr"/>
    </row>
    <row r="29">
      <c r="A29" t="n">
        <v>26</v>
      </c>
      <c r="B29" t="inlineStr"/>
      <c r="C29" t="inlineStr"/>
      <c r="D29" t="inlineStr">
        <is>
          <t>Z</t>
        </is>
      </c>
      <c r="E29" t="inlineStr"/>
      <c r="F29" t="inlineStr"/>
      <c r="G29" t="inlineStr"/>
      <c r="H29" t="inlineStr"/>
    </row>
    <row r="30">
      <c r="A30" t="n">
        <v>27</v>
      </c>
      <c r="B30" t="inlineStr"/>
      <c r="C30" t="inlineStr"/>
      <c r="D30" t="inlineStr">
        <is>
          <t>AA</t>
        </is>
      </c>
      <c r="E30" t="inlineStr"/>
      <c r="F30" t="inlineStr"/>
      <c r="G30" t="inlineStr"/>
      <c r="H30" t="inlineStr"/>
    </row>
    <row r="31">
      <c r="A31" t="n">
        <v>28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n">
        <v>29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n">
        <v>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n">
        <v>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n">
        <v>35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36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n">
        <v>37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38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n">
        <v>39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40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n">
        <v>41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42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n">
        <v>43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44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n">
        <v>45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46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n">
        <v>47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48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n">
        <v>49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50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n">
        <v>51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52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n">
        <v>53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54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n">
        <v>55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56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n">
        <v>57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58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n">
        <v>59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60</v>
      </c>
      <c r="B63" t="inlineStr"/>
      <c r="C63" t="inlineStr"/>
      <c r="D63" t="inlineStr"/>
      <c r="E63" t="inlineStr"/>
      <c r="F63" t="inlineStr"/>
      <c r="G63" t="inlineStr"/>
      <c r="H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  <col width="14" customWidth="1" min="6" max="6"/>
    <col width="3" customWidth="1" min="7" max="7"/>
    <col width="13" customWidth="1" min="8" max="8"/>
    <col width="10" customWidth="1" min="9" max="9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Reporter</t>
        </is>
      </c>
      <c r="D1" s="5" t="inlineStr">
        <is>
          <t>Pages written</t>
        </is>
      </c>
      <c r="E1" s="5" t="inlineStr">
        <is>
          <t>Starting page</t>
        </is>
      </c>
      <c r="F1" s="5" t="inlineStr">
        <is>
          <t>Ending page</t>
        </is>
      </c>
      <c r="G1" t="inlineStr"/>
      <c r="H1" s="1" t="inlineStr">
        <is>
          <t>Total pages:</t>
        </is>
      </c>
      <c r="I1">
        <f>SUM(D2:D1000)</f>
        <v/>
      </c>
    </row>
    <row r="2">
      <c r="A2" s="23" t="n"/>
      <c r="B2">
        <f>IF(A2="","",TEXT(A2,"dddd"))</f>
        <v/>
      </c>
      <c r="D2">
        <f>IF(OR(E2="",F2=""),"",F2-E2+1)</f>
        <v/>
      </c>
    </row>
    <row r="3">
      <c r="A3" s="23" t="n"/>
      <c r="B3">
        <f>IF(A3="","",TEXT(A3,"dddd"))</f>
        <v/>
      </c>
      <c r="D3">
        <f>IF(OR(E3="",F3=""),"",F3-E3+1)</f>
        <v/>
      </c>
    </row>
    <row r="4">
      <c r="A4" s="23" t="n"/>
      <c r="B4">
        <f>IF(A4="","",TEXT(A4,"dddd"))</f>
        <v/>
      </c>
      <c r="D4">
        <f>IF(OR(E4="",F4=""),"",F4-E4+1)</f>
        <v/>
      </c>
    </row>
    <row r="5">
      <c r="A5" s="23" t="n"/>
      <c r="B5">
        <f>IF(A5="","",TEXT(A5,"dddd"))</f>
        <v/>
      </c>
      <c r="D5">
        <f>IF(OR(E5="",F5=""),"",F5-E5+1)</f>
        <v/>
      </c>
    </row>
    <row r="6">
      <c r="A6" s="23" t="n"/>
      <c r="B6">
        <f>IF(A6="","",TEXT(A6,"dddd"))</f>
        <v/>
      </c>
      <c r="D6">
        <f>IF(OR(E6="",F6=""),"",F6-E6+1)</f>
        <v/>
      </c>
    </row>
    <row r="7">
      <c r="A7" s="23" t="n"/>
      <c r="B7">
        <f>IF(A7="","",TEXT(A7,"dddd"))</f>
        <v/>
      </c>
      <c r="D7">
        <f>IF(OR(E7="",F7=""),"",F7-E7+1)</f>
        <v/>
      </c>
    </row>
    <row r="8">
      <c r="A8" s="23" t="n"/>
      <c r="B8">
        <f>IF(A8="","",TEXT(A8,"dddd"))</f>
        <v/>
      </c>
      <c r="D8">
        <f>IF(OR(E8="",F8=""),"",F8-E8+1)</f>
        <v/>
      </c>
    </row>
    <row r="9">
      <c r="A9" s="23" t="n"/>
      <c r="B9">
        <f>IF(A9="","",TEXT(A9,"dddd"))</f>
        <v/>
      </c>
      <c r="D9">
        <f>IF(OR(E9="",F9=""),"",F9-E9+1)</f>
        <v/>
      </c>
    </row>
    <row r="10">
      <c r="A10" s="23" t="n"/>
      <c r="B10">
        <f>IF(A10="","",TEXT(A10,"dddd"))</f>
        <v/>
      </c>
      <c r="D10">
        <f>IF(OR(E10="",F10=""),"",F10-E10+1)</f>
        <v/>
      </c>
    </row>
    <row r="11">
      <c r="A11" s="23" t="n"/>
      <c r="B11">
        <f>IF(A11="","",TEXT(A11,"dddd"))</f>
        <v/>
      </c>
      <c r="D11">
        <f>IF(OR(E11="",F11=""),"",F11-E11+1)</f>
        <v/>
      </c>
    </row>
    <row r="12">
      <c r="A12" s="23" t="n"/>
      <c r="B12">
        <f>IF(A12="","",TEXT(A12,"dddd"))</f>
        <v/>
      </c>
      <c r="D12">
        <f>IF(OR(E12="",F12=""),"",F12-E12+1)</f>
        <v/>
      </c>
    </row>
    <row r="13">
      <c r="A13" s="23" t="n"/>
      <c r="B13">
        <f>IF(A13="","",TEXT(A13,"dddd"))</f>
        <v/>
      </c>
      <c r="D13">
        <f>IF(OR(E13="",F13=""),"",F13-E13+1)</f>
        <v/>
      </c>
    </row>
    <row r="14">
      <c r="A14" s="23" t="n"/>
      <c r="B14">
        <f>IF(A14="","",TEXT(A14,"dddd"))</f>
        <v/>
      </c>
      <c r="D14">
        <f>IF(OR(E14="",F14=""),"",F14-E14+1)</f>
        <v/>
      </c>
    </row>
    <row r="15">
      <c r="A15" s="23" t="n"/>
      <c r="B15">
        <f>IF(A15="","",TEXT(A15,"dddd"))</f>
        <v/>
      </c>
      <c r="D15">
        <f>IF(OR(E15="",F15=""),"",F15-E15+1)</f>
        <v/>
      </c>
    </row>
    <row r="16">
      <c r="A16" s="23" t="n"/>
      <c r="B16">
        <f>IF(A16="","",TEXT(A16,"dddd"))</f>
        <v/>
      </c>
      <c r="D16">
        <f>IF(OR(E16="",F16=""),"",F16-E16+1)</f>
        <v/>
      </c>
    </row>
    <row r="17">
      <c r="A17" s="23" t="n"/>
      <c r="B17">
        <f>IF(A17="","",TEXT(A17,"dddd"))</f>
        <v/>
      </c>
      <c r="D17">
        <f>IF(OR(E17="",F17=""),"",F17-E17+1)</f>
        <v/>
      </c>
    </row>
    <row r="18">
      <c r="A18" s="23" t="n"/>
      <c r="B18">
        <f>IF(A18="","",TEXT(A18,"dddd"))</f>
        <v/>
      </c>
      <c r="D18">
        <f>IF(OR(E18="",F18=""),"",F18-E18+1)</f>
        <v/>
      </c>
    </row>
    <row r="19">
      <c r="A19" s="23" t="n"/>
      <c r="B19">
        <f>IF(A19="","",TEXT(A19,"dddd"))</f>
        <v/>
      </c>
      <c r="D19">
        <f>IF(OR(E19="",F19=""),"",F19-E19+1)</f>
        <v/>
      </c>
    </row>
    <row r="20">
      <c r="A20" s="23" t="n"/>
      <c r="B20">
        <f>IF(A20="","",TEXT(A20,"dddd"))</f>
        <v/>
      </c>
      <c r="D20">
        <f>IF(OR(E20="",F20=""),"",F20-E20+1)</f>
        <v/>
      </c>
    </row>
    <row r="21">
      <c r="A21" s="23" t="n"/>
      <c r="B21">
        <f>IF(A21="","",TEXT(A21,"dddd"))</f>
        <v/>
      </c>
      <c r="D21">
        <f>IF(OR(E21="",F21=""),"",F21-E21+1)</f>
        <v/>
      </c>
    </row>
    <row r="22">
      <c r="A22" s="23" t="n"/>
      <c r="B22">
        <f>IF(A22="","",TEXT(A22,"dddd"))</f>
        <v/>
      </c>
      <c r="D22">
        <f>IF(OR(E22="",F22=""),"",F22-E22+1)</f>
        <v/>
      </c>
    </row>
    <row r="23">
      <c r="A23" s="23" t="n"/>
      <c r="B23">
        <f>IF(A23="","",TEXT(A23,"dddd"))</f>
        <v/>
      </c>
      <c r="D23">
        <f>IF(OR(E23="",F23=""),"",F23-E23+1)</f>
        <v/>
      </c>
    </row>
    <row r="24">
      <c r="A24" s="23" t="n"/>
      <c r="B24">
        <f>IF(A24="","",TEXT(A24,"dddd"))</f>
        <v/>
      </c>
      <c r="D24">
        <f>IF(OR(E24="",F24=""),"",F24-E24+1)</f>
        <v/>
      </c>
    </row>
    <row r="25">
      <c r="A25" s="23" t="n"/>
      <c r="B25">
        <f>IF(A25="","",TEXT(A25,"dddd"))</f>
        <v/>
      </c>
      <c r="D25">
        <f>IF(OR(E25="",F25=""),"",F25-E25+1)</f>
        <v/>
      </c>
    </row>
    <row r="26">
      <c r="A26" s="23" t="n"/>
      <c r="B26">
        <f>IF(A26="","",TEXT(A26,"dddd"))</f>
        <v/>
      </c>
      <c r="D26">
        <f>IF(OR(E26="",F26=""),"",F26-E26+1)</f>
        <v/>
      </c>
    </row>
    <row r="27">
      <c r="A27" s="23" t="n"/>
      <c r="B27">
        <f>IF(A27="","",TEXT(A27,"dddd"))</f>
        <v/>
      </c>
      <c r="D27">
        <f>IF(OR(E27="",F27=""),"",F27-E27+1)</f>
        <v/>
      </c>
    </row>
    <row r="28">
      <c r="A28" s="23" t="n"/>
      <c r="B28">
        <f>IF(A28="","",TEXT(A28,"dddd"))</f>
        <v/>
      </c>
      <c r="D28">
        <f>IF(OR(E28="",F28=""),"",F28-E28+1)</f>
        <v/>
      </c>
    </row>
    <row r="29">
      <c r="A29" s="23" t="n"/>
      <c r="B29">
        <f>IF(A29="","",TEXT(A29,"dddd"))</f>
        <v/>
      </c>
      <c r="D29">
        <f>IF(OR(E29="",F29=""),"",F29-E29+1)</f>
        <v/>
      </c>
    </row>
    <row r="30">
      <c r="A30" s="23" t="n"/>
      <c r="B30">
        <f>IF(A30="","",TEXT(A30,"dddd"))</f>
        <v/>
      </c>
      <c r="D30">
        <f>IF(OR(E30="",F30=""),"",F30-E30+1)</f>
        <v/>
      </c>
    </row>
    <row r="31">
      <c r="A31" s="23" t="n"/>
      <c r="B31">
        <f>IF(A31="","",TEXT(A31,"dddd"))</f>
        <v/>
      </c>
      <c r="D31">
        <f>IF(OR(E31="",F31=""),"",F31-E31+1)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2026-10-02T14:31:20Z</dcterms:created>
  <dcterms:modified xsi:type="dcterms:W3CDTF">2026-10-02T14:31:20Z</dcterms:modified>
</cp:coreProperties>
</file>